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ropbox\09-family\03-임수연-자료\20260417-헝가리약대-유학자료\"/>
    </mc:Choice>
  </mc:AlternateContent>
  <xr:revisionPtr revIDLastSave="0" documentId="13_ncr:1_{6305C8EE-CEAE-48A3-BB9F-CAE5D0EEC47C}" xr6:coauthVersionLast="47" xr6:coauthVersionMax="47" xr10:uidLastSave="{00000000-0000-0000-0000-000000000000}"/>
  <bookViews>
    <workbookView xWindow="3135" yWindow="16080" windowWidth="20730" windowHeight="11310" tabRatio="500" activeTab="3" xr2:uid="{00000000-000D-0000-FFFF-FFFF00000000}"/>
  </bookViews>
  <sheets>
    <sheet name="유학비용정리" sheetId="1" r:id="rId1"/>
    <sheet name="물품준비" sheetId="2" r:id="rId2"/>
    <sheet name="사전 유학 준비" sheetId="3" r:id="rId3"/>
    <sheet name="월별 지출" sheetId="5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" i="1" l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H18" i="1" s="1"/>
  <c r="G7" i="1"/>
  <c r="G18" i="1" s="1"/>
</calcChain>
</file>

<file path=xl/sharedStrings.xml><?xml version="1.0" encoding="utf-8"?>
<sst xmlns="http://schemas.openxmlformats.org/spreadsheetml/2006/main" count="141" uniqueCount="114">
  <si>
    <r>
      <rPr>
        <b/>
        <sz val="10"/>
        <color rgb="FF000000"/>
        <rFont val="Noto Sans CJK SC"/>
        <family val="2"/>
      </rPr>
      <t xml:space="preserve">적용 환율 </t>
    </r>
    <r>
      <rPr>
        <b/>
        <sz val="10"/>
        <color rgb="FF000000"/>
        <rFont val="맑은 고딕"/>
        <family val="3"/>
        <charset val="129"/>
      </rPr>
      <t>(USD→KRW)</t>
    </r>
  </si>
  <si>
    <r>
      <rPr>
        <sz val="9"/>
        <color rgb="FF595959"/>
        <rFont val="Noto Sans CJK SC"/>
        <family val="2"/>
      </rPr>
      <t>← 노란 셀에 최신 환율을 입력하면 달러 항목의 원화 환산액이 자동으로 다시 계산됩니다</t>
    </r>
    <r>
      <rPr>
        <sz val="9"/>
        <color rgb="FF595959"/>
        <rFont val="맑은 고딕"/>
        <family val="3"/>
        <charset val="129"/>
      </rPr>
      <t>. (2026</t>
    </r>
    <r>
      <rPr>
        <sz val="9"/>
        <color rgb="FF595959"/>
        <rFont val="Noto Sans CJK SC"/>
        <family val="2"/>
      </rPr>
      <t xml:space="preserve">년 </t>
    </r>
    <r>
      <rPr>
        <sz val="9"/>
        <color rgb="FF595959"/>
        <rFont val="맑은 고딕"/>
        <family val="3"/>
        <charset val="129"/>
      </rPr>
      <t>7</t>
    </r>
    <r>
      <rPr>
        <sz val="9"/>
        <color rgb="FF595959"/>
        <rFont val="Noto Sans CJK SC"/>
        <family val="2"/>
      </rPr>
      <t xml:space="preserve">월 기준 약 </t>
    </r>
    <r>
      <rPr>
        <sz val="9"/>
        <color rgb="FF595959"/>
        <rFont val="맑은 고딕"/>
        <family val="3"/>
        <charset val="129"/>
      </rPr>
      <t>1,465</t>
    </r>
    <r>
      <rPr>
        <sz val="9"/>
        <color rgb="FF595959"/>
        <rFont val="Noto Sans CJK SC"/>
        <family val="2"/>
      </rPr>
      <t>원</t>
    </r>
    <r>
      <rPr>
        <sz val="9"/>
        <color rgb="FF595959"/>
        <rFont val="맑은 고딕"/>
        <family val="3"/>
        <charset val="129"/>
      </rPr>
      <t>)</t>
    </r>
  </si>
  <si>
    <r>
      <rPr>
        <sz val="9"/>
        <color rgb="FF595959"/>
        <rFont val="맑은 고딕"/>
        <family val="3"/>
        <charset val="129"/>
      </rPr>
      <t>※ '</t>
    </r>
    <r>
      <rPr>
        <sz val="9"/>
        <color rgb="FF595959"/>
        <rFont val="Noto Sans CJK SC"/>
        <family val="2"/>
      </rPr>
      <t>만원</t>
    </r>
    <r>
      <rPr>
        <sz val="9"/>
        <color rgb="FF595959"/>
        <rFont val="맑은 고딕"/>
        <family val="3"/>
        <charset val="129"/>
      </rPr>
      <t xml:space="preserve">' </t>
    </r>
    <r>
      <rPr>
        <sz val="9"/>
        <color rgb="FF595959"/>
        <rFont val="Noto Sans CJK SC"/>
        <family val="2"/>
      </rPr>
      <t xml:space="preserve">단위 항목은 원화 추정치이며 </t>
    </r>
    <r>
      <rPr>
        <sz val="9"/>
        <color rgb="FF595959"/>
        <rFont val="맑은 고딕"/>
        <family val="3"/>
        <charset val="129"/>
      </rPr>
      <t>×10,000</t>
    </r>
    <r>
      <rPr>
        <sz val="9"/>
        <color rgb="FF595959"/>
        <rFont val="Noto Sans CJK SC"/>
        <family val="2"/>
      </rPr>
      <t>으로 환산됩니다</t>
    </r>
    <r>
      <rPr>
        <sz val="9"/>
        <color rgb="FF595959"/>
        <rFont val="맑은 고딕"/>
        <family val="3"/>
        <charset val="129"/>
      </rPr>
      <t xml:space="preserve">.  </t>
    </r>
    <r>
      <rPr>
        <sz val="9"/>
        <color rgb="FF595959"/>
        <rFont val="Noto Sans CJK SC"/>
        <family val="2"/>
      </rPr>
      <t>유로</t>
    </r>
    <r>
      <rPr>
        <sz val="9"/>
        <color rgb="FF595959"/>
        <rFont val="맑은 고딕"/>
        <family val="3"/>
        <charset val="129"/>
      </rPr>
      <t>/</t>
    </r>
    <r>
      <rPr>
        <sz val="9"/>
        <color rgb="FF595959"/>
        <rFont val="Noto Sans CJK SC"/>
        <family val="2"/>
      </rPr>
      <t>원화로 지불하더라도 예산은 모두 원화</t>
    </r>
    <r>
      <rPr>
        <sz val="9"/>
        <color rgb="FF595959"/>
        <rFont val="맑은 고딕"/>
        <family val="3"/>
        <charset val="129"/>
      </rPr>
      <t xml:space="preserve">(KRW) </t>
    </r>
    <r>
      <rPr>
        <sz val="9"/>
        <color rgb="FF595959"/>
        <rFont val="Noto Sans CJK SC"/>
        <family val="2"/>
      </rPr>
      <t>기준으로 합산합니다</t>
    </r>
    <r>
      <rPr>
        <sz val="9"/>
        <color rgb="FF595959"/>
        <rFont val="맑은 고딕"/>
        <family val="3"/>
        <charset val="129"/>
      </rPr>
      <t xml:space="preserve">.  </t>
    </r>
    <r>
      <rPr>
        <sz val="9"/>
        <color rgb="FF595959"/>
        <rFont val="Noto Sans CJK SC"/>
        <family val="2"/>
      </rPr>
      <t>범위</t>
    </r>
    <r>
      <rPr>
        <sz val="9"/>
        <color rgb="FF595959"/>
        <rFont val="맑은 고딕"/>
        <family val="3"/>
        <charset val="129"/>
      </rPr>
      <t>(</t>
    </r>
    <r>
      <rPr>
        <sz val="9"/>
        <color rgb="FF595959"/>
        <rFont val="Noto Sans CJK SC"/>
        <family val="2"/>
      </rPr>
      <t>예</t>
    </r>
    <r>
      <rPr>
        <sz val="9"/>
        <color rgb="FF595959"/>
        <rFont val="맑은 고딕"/>
        <family val="3"/>
        <charset val="129"/>
      </rPr>
      <t>: 240~300)</t>
    </r>
    <r>
      <rPr>
        <sz val="9"/>
        <color rgb="FF595959"/>
        <rFont val="Noto Sans CJK SC"/>
        <family val="2"/>
      </rPr>
      <t>는 최소</t>
    </r>
    <r>
      <rPr>
        <sz val="9"/>
        <color rgb="FF595959"/>
        <rFont val="맑은 고딕"/>
        <family val="3"/>
        <charset val="129"/>
      </rPr>
      <t>·</t>
    </r>
    <r>
      <rPr>
        <sz val="9"/>
        <color rgb="FF595959"/>
        <rFont val="Noto Sans CJK SC"/>
        <family val="2"/>
      </rPr>
      <t>최대로 나누어 관리합니다</t>
    </r>
    <r>
      <rPr>
        <sz val="9"/>
        <color rgb="FF595959"/>
        <rFont val="맑은 고딕"/>
        <family val="3"/>
        <charset val="129"/>
      </rPr>
      <t>.</t>
    </r>
  </si>
  <si>
    <t>항목</t>
  </si>
  <si>
    <t>단위</t>
  </si>
  <si>
    <t>지불 통화</t>
  </si>
  <si>
    <t>원화환산 최소</t>
  </si>
  <si>
    <t>원화환산 최대</t>
  </si>
  <si>
    <t>비고</t>
  </si>
  <si>
    <t>한 학기 등록금</t>
  </si>
  <si>
    <t>달러</t>
  </si>
  <si>
    <t>미국달러</t>
  </si>
  <si>
    <t>입학금</t>
  </si>
  <si>
    <r>
      <rPr>
        <sz val="10"/>
        <color rgb="FF000000"/>
        <rFont val="Noto Sans CJK SC"/>
        <family val="2"/>
      </rPr>
      <t>입학생 캠프</t>
    </r>
    <r>
      <rPr>
        <sz val="10"/>
        <color rgb="FF000000"/>
        <rFont val="맑은 고딕"/>
        <family val="3"/>
        <charset val="129"/>
      </rPr>
      <t>(9</t>
    </r>
    <r>
      <rPr>
        <sz val="10"/>
        <color rgb="FF000000"/>
        <rFont val="Noto Sans CJK SC"/>
        <family val="2"/>
      </rPr>
      <t>월초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참여</t>
    </r>
  </si>
  <si>
    <t>만원</t>
  </si>
  <si>
    <t>유로화</t>
  </si>
  <si>
    <t>신청 여부 미정</t>
  </si>
  <si>
    <t>헝가리 월세계약 수수료</t>
  </si>
  <si>
    <t>헝가리 월세 보증금</t>
  </si>
  <si>
    <r>
      <rPr>
        <sz val="9"/>
        <color rgb="FF595959"/>
        <rFont val="맑은 고딕"/>
        <family val="3"/>
        <charset val="129"/>
      </rPr>
      <t>2</t>
    </r>
    <r>
      <rPr>
        <sz val="9"/>
        <color rgb="FF595959"/>
        <rFont val="Noto Sans CJK SC"/>
        <family val="2"/>
      </rPr>
      <t>개월치 월세</t>
    </r>
    <r>
      <rPr>
        <sz val="9"/>
        <color rgb="FF595959"/>
        <rFont val="맑은 고딕"/>
        <family val="3"/>
        <charset val="129"/>
      </rPr>
      <t>(</t>
    </r>
    <r>
      <rPr>
        <sz val="9"/>
        <color rgb="FF595959"/>
        <rFont val="Noto Sans CJK SC"/>
        <family val="2"/>
      </rPr>
      <t xml:space="preserve">반려동물 거주 시 </t>
    </r>
    <r>
      <rPr>
        <sz val="9"/>
        <color rgb="FF595959"/>
        <rFont val="맑은 고딕"/>
        <family val="3"/>
        <charset val="129"/>
      </rPr>
      <t>3</t>
    </r>
    <r>
      <rPr>
        <sz val="9"/>
        <color rgb="FF595959"/>
        <rFont val="Noto Sans CJK SC"/>
        <family val="2"/>
      </rPr>
      <t>개월치일 수 있음</t>
    </r>
    <r>
      <rPr>
        <sz val="9"/>
        <color rgb="FF595959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</si>
  <si>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헝가리 월세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첫 달치</t>
    </r>
    <r>
      <rPr>
        <sz val="10"/>
        <color rgb="FF000000"/>
        <rFont val="맑은 고딕"/>
        <family val="3"/>
        <charset val="129"/>
      </rPr>
      <t>)</t>
    </r>
  </si>
  <si>
    <t>매달 지불</t>
  </si>
  <si>
    <t>시루 항공 탑승료</t>
  </si>
  <si>
    <t>원화</t>
  </si>
  <si>
    <r>
      <rPr>
        <sz val="10"/>
        <color rgb="FF000000"/>
        <rFont val="Noto Sans CJK SC"/>
        <family val="2"/>
      </rPr>
      <t xml:space="preserve">수연 용돈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적응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첫 달</t>
    </r>
    <r>
      <rPr>
        <sz val="10"/>
        <color rgb="FF000000"/>
        <rFont val="맑은 고딕"/>
        <family val="3"/>
        <charset val="129"/>
      </rPr>
      <t>)</t>
    </r>
  </si>
  <si>
    <t>대한항공 화물비용</t>
  </si>
  <si>
    <t>탑승 현장에서 측정</t>
  </si>
  <si>
    <r>
      <rPr>
        <sz val="10"/>
        <color rgb="FF000000"/>
        <rFont val="Noto Sans CJK SC"/>
        <family val="2"/>
      </rPr>
      <t>거주증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학생비자 신청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수수료</t>
    </r>
  </si>
  <si>
    <t>유로</t>
  </si>
  <si>
    <t>금액 조사중</t>
  </si>
  <si>
    <t>필요물품 구입</t>
  </si>
  <si>
    <r>
      <rPr>
        <sz val="10"/>
        <color rgb="FF000000"/>
        <rFont val="Noto Sans CJK SC"/>
        <family val="2"/>
      </rPr>
      <t>원화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유로</t>
    </r>
  </si>
  <si>
    <t>합계</t>
  </si>
  <si>
    <t>거주증 수수료 등 미정 항목 제외</t>
  </si>
  <si>
    <r>
      <rPr>
        <sz val="9"/>
        <color rgb="FF7F6000"/>
        <rFont val="Noto Sans CJK SC"/>
        <family val="2"/>
      </rPr>
      <t>■ 노란색 셀</t>
    </r>
    <r>
      <rPr>
        <sz val="9"/>
        <color rgb="FF7F6000"/>
        <rFont val="맑은 고딕"/>
        <family val="3"/>
        <charset val="129"/>
      </rPr>
      <t>(</t>
    </r>
    <r>
      <rPr>
        <sz val="9"/>
        <color rgb="FF7F6000"/>
        <rFont val="Noto Sans CJK SC"/>
        <family val="2"/>
      </rPr>
      <t>환율</t>
    </r>
    <r>
      <rPr>
        <sz val="9"/>
        <color rgb="FF7F6000"/>
        <rFont val="맑은 고딕"/>
        <family val="3"/>
        <charset val="129"/>
      </rPr>
      <t>)</t>
    </r>
    <r>
      <rPr>
        <sz val="9"/>
        <color rgb="FF7F6000"/>
        <rFont val="Noto Sans CJK SC"/>
        <family val="2"/>
      </rPr>
      <t>만 직접 수정하세요</t>
    </r>
    <r>
      <rPr>
        <sz val="9"/>
        <color rgb="FF7F6000"/>
        <rFont val="맑은 고딕"/>
        <family val="3"/>
        <charset val="129"/>
      </rPr>
      <t xml:space="preserve">.  </t>
    </r>
    <r>
      <rPr>
        <sz val="9"/>
        <color rgb="FF7F6000"/>
        <rFont val="Noto Sans CJK SC"/>
        <family val="2"/>
      </rPr>
      <t>원화환산</t>
    </r>
    <r>
      <rPr>
        <sz val="9"/>
        <color rgb="FF7F6000"/>
        <rFont val="맑은 고딕"/>
        <family val="3"/>
        <charset val="129"/>
      </rPr>
      <t>·</t>
    </r>
    <r>
      <rPr>
        <sz val="9"/>
        <color rgb="FF7F6000"/>
        <rFont val="Noto Sans CJK SC"/>
        <family val="2"/>
      </rPr>
      <t>합계 열은 자동 계산 수식이므로 건드리지 않는 것을 권장합니다</t>
    </r>
    <r>
      <rPr>
        <sz val="9"/>
        <color rgb="FF7F6000"/>
        <rFont val="맑은 고딕"/>
        <family val="3"/>
        <charset val="129"/>
      </rPr>
      <t>.</t>
    </r>
  </si>
  <si>
    <t>2026-07-26~27</t>
  </si>
  <si>
    <t>2026-09 ~ 2026-11</t>
  </si>
  <si>
    <t>2026-07 ~ 2026-09</t>
  </si>
  <si>
    <r>
      <rPr>
        <b/>
        <sz val="10"/>
        <color rgb="FFFFFFFF"/>
        <rFont val="맑은 고딕"/>
        <family val="3"/>
        <charset val="129"/>
      </rPr>
      <t>예상</t>
    </r>
    <r>
      <rPr>
        <b/>
        <sz val="10"/>
        <color rgb="FFFFFFFF"/>
        <rFont val="돋움"/>
        <family val="2"/>
        <charset val="129"/>
      </rPr>
      <t>일</t>
    </r>
    <phoneticPr fontId="15" type="noConversion"/>
  </si>
  <si>
    <t>2026-08-10</t>
    <phoneticPr fontId="15" type="noConversion"/>
  </si>
  <si>
    <t>2026-08-16</t>
    <phoneticPr fontId="15" type="noConversion"/>
  </si>
  <si>
    <t>2026-07-23~</t>
    <phoneticPr fontId="15" type="noConversion"/>
  </si>
  <si>
    <r>
      <rPr>
        <b/>
        <sz val="10"/>
        <color rgb="FFFFFFFF"/>
        <rFont val="맑은 고딕"/>
        <family val="3"/>
        <charset val="129"/>
      </rPr>
      <t>예상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최소</t>
    </r>
    <phoneticPr fontId="15" type="noConversion"/>
  </si>
  <si>
    <r>
      <rPr>
        <b/>
        <sz val="10"/>
        <color rgb="FFFFFFFF"/>
        <rFont val="맑은 고딕"/>
        <family val="3"/>
        <charset val="129"/>
      </rPr>
      <t>예상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최대</t>
    </r>
    <phoneticPr fontId="15" type="noConversion"/>
  </si>
  <si>
    <r>
      <rPr>
        <b/>
        <sz val="16"/>
        <color rgb="FFFFFFFF"/>
        <rFont val="맑은 고딕"/>
        <family val="3"/>
        <charset val="129"/>
      </rPr>
      <t>헝가리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유학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준비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비용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정리</t>
    </r>
    <phoneticPr fontId="15" type="noConversion"/>
  </si>
  <si>
    <r>
      <rPr>
        <sz val="9"/>
        <color rgb="FF595959"/>
        <rFont val="맑은 고딕"/>
        <family val="3"/>
        <charset val="129"/>
      </rPr>
      <t>보증금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2,000달러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차감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후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금액</t>
    </r>
    <phoneticPr fontId="15" type="noConversion"/>
  </si>
  <si>
    <t>송금수수료(우리은행 앱)</t>
    <phoneticPr fontId="15" type="noConversion"/>
  </si>
  <si>
    <r>
      <t>7/26</t>
    </r>
    <r>
      <rPr>
        <sz val="9"/>
        <color theme="1"/>
        <rFont val="맑은 고딕"/>
        <family val="2"/>
        <charset val="129"/>
      </rPr>
      <t>납부</t>
    </r>
    <phoneticPr fontId="15" type="noConversion"/>
  </si>
  <si>
    <t>원화출금액</t>
    <phoneticPr fontId="15" type="noConversion"/>
  </si>
  <si>
    <t>등록금과입학금 합계</t>
    <phoneticPr fontId="15" type="noConversion"/>
  </si>
  <si>
    <t xml:space="preserve"> </t>
    <phoneticPr fontId="15" type="noConversion"/>
  </si>
  <si>
    <t>사전공부</t>
    <phoneticPr fontId="15" type="noConversion"/>
  </si>
  <si>
    <t>유학원</t>
    <phoneticPr fontId="15" type="noConversion"/>
  </si>
  <si>
    <r>
      <t>25</t>
    </r>
    <r>
      <rPr>
        <sz val="11"/>
        <color theme="1"/>
        <rFont val="맑은 고딕"/>
        <family val="2"/>
        <charset val="129"/>
      </rPr>
      <t>년10월</t>
    </r>
    <phoneticPr fontId="15" type="noConversion"/>
  </si>
  <si>
    <t>과외</t>
    <phoneticPr fontId="15" type="noConversion"/>
  </si>
  <si>
    <r>
      <t>(26</t>
    </r>
    <r>
      <rPr>
        <sz val="11"/>
        <color theme="1"/>
        <rFont val="맑은 고딕"/>
        <family val="2"/>
        <charset val="129"/>
      </rPr>
      <t>년2월,3월,4월 3개월간)</t>
    </r>
    <phoneticPr fontId="15" type="noConversion"/>
  </si>
  <si>
    <t>투비단어학원</t>
    <phoneticPr fontId="15" type="noConversion"/>
  </si>
  <si>
    <t>시험응시료</t>
    <phoneticPr fontId="15" type="noConversion"/>
  </si>
  <si>
    <t>달러</t>
    <phoneticPr fontId="15" type="noConversion"/>
  </si>
  <si>
    <t>세멜바이즈</t>
    <phoneticPr fontId="15" type="noConversion"/>
  </si>
  <si>
    <t>부다페스트 수의대</t>
    <phoneticPr fontId="15" type="noConversion"/>
  </si>
  <si>
    <t>입학보증금</t>
    <phoneticPr fontId="15" type="noConversion"/>
  </si>
  <si>
    <t>세멜바이즈(3065000원)</t>
    <phoneticPr fontId="15" type="noConversion"/>
  </si>
  <si>
    <r>
      <t>40785</t>
    </r>
    <r>
      <rPr>
        <sz val="11"/>
        <color theme="1"/>
        <rFont val="맑은 고딕"/>
        <family val="3"/>
        <charset val="129"/>
      </rPr>
      <t>원</t>
    </r>
    <phoneticPr fontId="15" type="noConversion"/>
  </si>
  <si>
    <t>건강검진</t>
    <phoneticPr fontId="15" type="noConversion"/>
  </si>
  <si>
    <t>서울 내과(유학검진 소문난 곳, 블로그보고 찾아감)</t>
    <phoneticPr fontId="15" type="noConversion"/>
  </si>
  <si>
    <t>항공 유류할증료</t>
    <phoneticPr fontId="15" type="noConversion"/>
  </si>
  <si>
    <t>마일리지 차감</t>
    <phoneticPr fontId="15" type="noConversion"/>
  </si>
  <si>
    <t>시루 건강검진 서류</t>
    <phoneticPr fontId="15" type="noConversion"/>
  </si>
  <si>
    <t>수의과병원, 광견병, 채혈증명서,마이크로칩이식</t>
    <phoneticPr fontId="15" type="noConversion"/>
  </si>
  <si>
    <t>수연 사시수술 진단, 예약금</t>
    <phoneticPr fontId="15" type="noConversion"/>
  </si>
  <si>
    <r>
      <t>(</t>
    </r>
    <r>
      <rPr>
        <sz val="11"/>
        <color theme="1"/>
        <rFont val="맑은 고딕"/>
        <family val="3"/>
        <charset val="129"/>
      </rPr>
      <t>서울 안과: 수술일자를 연기했으므로 예약금이 유보되는지 물어봐야 함)</t>
    </r>
    <phoneticPr fontId="15" type="noConversion"/>
  </si>
  <si>
    <t>다이슨헤어</t>
    <phoneticPr fontId="15" type="noConversion"/>
  </si>
  <si>
    <t xml:space="preserve">3단이민가방 </t>
    <phoneticPr fontId="15" type="noConversion"/>
  </si>
  <si>
    <t>28인치 수화물용 캐리어</t>
    <phoneticPr fontId="15" type="noConversion"/>
  </si>
  <si>
    <t>반려동물가방(기내)</t>
    <phoneticPr fontId="15" type="noConversion"/>
  </si>
  <si>
    <t>제모기기</t>
    <phoneticPr fontId="15" type="noConversion"/>
  </si>
  <si>
    <r>
      <t xml:space="preserve">IELTS </t>
    </r>
    <r>
      <rPr>
        <sz val="11"/>
        <color theme="1"/>
        <rFont val="맑은 고딕"/>
        <family val="2"/>
        <charset val="129"/>
      </rPr>
      <t>준비</t>
    </r>
    <phoneticPr fontId="15" type="noConversion"/>
  </si>
  <si>
    <t>항공권</t>
    <phoneticPr fontId="15" type="noConversion"/>
  </si>
  <si>
    <r>
      <t xml:space="preserve">(8/18 </t>
    </r>
    <r>
      <rPr>
        <sz val="11"/>
        <color theme="1"/>
        <rFont val="맑은 고딕"/>
        <family val="2"/>
        <charset val="129"/>
      </rPr>
      <t>부다페스트 편도)</t>
    </r>
    <phoneticPr fontId="15" type="noConversion"/>
  </si>
  <si>
    <t>식품</t>
    <phoneticPr fontId="15" type="noConversion"/>
  </si>
  <si>
    <t>비상약</t>
    <phoneticPr fontId="15" type="noConversion"/>
  </si>
  <si>
    <t>기타 물품</t>
    <phoneticPr fontId="15" type="noConversion"/>
  </si>
  <si>
    <t xml:space="preserve">시루유산균 </t>
    <phoneticPr fontId="15" type="noConversion"/>
  </si>
  <si>
    <t>등록금</t>
    <phoneticPr fontId="15" type="noConversion"/>
  </si>
  <si>
    <t>시루탑승</t>
    <phoneticPr fontId="15" type="noConversion"/>
  </si>
  <si>
    <t>출국전 10알내 검진</t>
    <phoneticPr fontId="15" type="noConversion"/>
  </si>
  <si>
    <t>출국직전 공항검역</t>
    <phoneticPr fontId="15" type="noConversion"/>
  </si>
  <si>
    <t>수화물추가</t>
    <phoneticPr fontId="15" type="noConversion"/>
  </si>
  <si>
    <t>(대한항공 헝가리 편도)</t>
    <phoneticPr fontId="15" type="noConversion"/>
  </si>
  <si>
    <t>노트북(맥북)</t>
    <phoneticPr fontId="15" type="noConversion"/>
  </si>
  <si>
    <t>노트북가방</t>
    <phoneticPr fontId="15" type="noConversion"/>
  </si>
  <si>
    <t>올리브영</t>
    <phoneticPr fontId="15" type="noConversion"/>
  </si>
  <si>
    <t>기타</t>
    <phoneticPr fontId="15" type="noConversion"/>
  </si>
  <si>
    <t>뉴코아</t>
    <phoneticPr fontId="15" type="noConversion"/>
  </si>
  <si>
    <t>용돈</t>
    <phoneticPr fontId="15" type="noConversion"/>
  </si>
  <si>
    <r>
      <t xml:space="preserve">8.18 </t>
    </r>
    <r>
      <rPr>
        <sz val="11"/>
        <color theme="1"/>
        <rFont val="맑은 고딕"/>
        <family val="2"/>
        <charset val="129"/>
      </rPr>
      <t>환전</t>
    </r>
    <phoneticPr fontId="15" type="noConversion"/>
  </si>
  <si>
    <t>여행자보험</t>
    <phoneticPr fontId="15" type="noConversion"/>
  </si>
  <si>
    <t>삼성화재 글로벌케어6개월</t>
    <phoneticPr fontId="15" type="noConversion"/>
  </si>
  <si>
    <t>에어비앤바</t>
    <phoneticPr fontId="15" type="noConversion"/>
  </si>
  <si>
    <r>
      <t>5</t>
    </r>
    <r>
      <rPr>
        <sz val="11"/>
        <color theme="1"/>
        <rFont val="맑은 고딕"/>
        <family val="3"/>
        <charset val="129"/>
      </rPr>
      <t>일 숙박</t>
    </r>
    <phoneticPr fontId="15" type="noConversion"/>
  </si>
  <si>
    <t>월세</t>
    <phoneticPr fontId="15" type="noConversion"/>
  </si>
  <si>
    <t>월세보증금</t>
    <phoneticPr fontId="15" type="noConversion"/>
  </si>
  <si>
    <t>중개수수료</t>
    <phoneticPr fontId="15" type="noConversion"/>
  </si>
  <si>
    <t>월용돈</t>
    <phoneticPr fontId="15" type="noConversion"/>
  </si>
  <si>
    <r>
      <t xml:space="preserve"> 25</t>
    </r>
    <r>
      <rPr>
        <sz val="11"/>
        <color theme="1"/>
        <rFont val="맑은 고딕"/>
        <family val="2"/>
        <charset val="129"/>
      </rPr>
      <t>년 8월 중순</t>
    </r>
    <phoneticPr fontId="15" type="noConversion"/>
  </si>
  <si>
    <r>
      <t>(</t>
    </r>
    <r>
      <rPr>
        <sz val="11"/>
        <color theme="1"/>
        <rFont val="맑은 고딕"/>
        <family val="2"/>
        <charset val="129"/>
      </rPr>
      <t>예상)</t>
    </r>
    <phoneticPr fontId="15" type="noConversion"/>
  </si>
  <si>
    <t>초기정착</t>
    <phoneticPr fontId="15" type="noConversion"/>
  </si>
  <si>
    <t>공증비용</t>
    <phoneticPr fontId="15" type="noConversion"/>
  </si>
  <si>
    <r>
      <t>10</t>
    </r>
    <r>
      <rPr>
        <sz val="11"/>
        <color theme="1"/>
        <rFont val="맑은 고딕"/>
        <family val="2"/>
        <charset val="129"/>
      </rPr>
      <t>만</t>
    </r>
    <r>
      <rPr>
        <sz val="11"/>
        <color theme="1"/>
        <rFont val="Calibri"/>
        <family val="2"/>
        <charset val="1"/>
      </rPr>
      <t>~30</t>
    </r>
    <r>
      <rPr>
        <sz val="11"/>
        <color theme="1"/>
        <rFont val="맑은 고딕"/>
        <family val="2"/>
        <charset val="129"/>
      </rPr>
      <t>만</t>
    </r>
    <phoneticPr fontId="15" type="noConversion"/>
  </si>
  <si>
    <r>
      <t>150</t>
    </r>
    <r>
      <rPr>
        <sz val="11"/>
        <color theme="1"/>
        <rFont val="맑은 고딕"/>
        <family val="2"/>
        <charset val="129"/>
      </rPr>
      <t>만</t>
    </r>
    <phoneticPr fontId="15" type="noConversion"/>
  </si>
  <si>
    <t>없음</t>
    <phoneticPr fontId="15" type="noConversion"/>
  </si>
  <si>
    <r>
      <t>300</t>
    </r>
    <r>
      <rPr>
        <sz val="11"/>
        <color theme="1"/>
        <rFont val="맑은 고딕"/>
        <family val="2"/>
        <charset val="129"/>
      </rPr>
      <t>만</t>
    </r>
    <phoneticPr fontId="15" type="noConversion"/>
  </si>
  <si>
    <r>
      <t>180~200</t>
    </r>
    <r>
      <rPr>
        <sz val="11"/>
        <color theme="1"/>
        <rFont val="맑은 고딕"/>
        <family val="2"/>
        <charset val="129"/>
      </rPr>
      <t>만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</si>
</sst>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&quot;원&quot;"/>
    <numFmt numFmtId="177" formatCode="\₩#,##0"/>
  </numFmts>
  <fonts count="36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6"/>
      <color rgb="FFFFFFFF"/>
      <name val="맑은 고딕"/>
      <family val="3"/>
      <charset val="129"/>
    </font>
    <font>
      <b/>
      <sz val="10"/>
      <color rgb="FF000000"/>
      <name val="Noto Sans CJK SC"/>
      <family val="2"/>
    </font>
    <font>
      <b/>
      <sz val="10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0"/>
      <color rgb="FFFFFFFF"/>
      <name val="Noto Sans CJK SC"/>
      <family val="2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1"/>
      <color rgb="FF000000"/>
      <name val="Noto Sans CJK SC"/>
      <family val="2"/>
    </font>
    <font>
      <b/>
      <sz val="11"/>
      <color rgb="FFC00000"/>
      <name val="맑은 고딕"/>
      <family val="3"/>
      <charset val="129"/>
    </font>
    <font>
      <sz val="9"/>
      <color rgb="FF7F6000"/>
      <name val="Noto Sans CJK SC"/>
      <family val="2"/>
    </font>
    <font>
      <sz val="9"/>
      <color rgb="FF7F6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</font>
    <font>
      <b/>
      <sz val="10"/>
      <color rgb="FFFFFFFF"/>
      <name val="돋움"/>
      <family val="2"/>
      <charset val="129"/>
    </font>
    <font>
      <b/>
      <sz val="10"/>
      <color rgb="FFFFFFFF"/>
      <name val="Noto Sans CJK SC"/>
      <family val="3"/>
      <charset val="129"/>
    </font>
    <font>
      <b/>
      <sz val="16"/>
      <color rgb="FFFFFFFF"/>
      <name val="Arial"/>
      <family val="2"/>
    </font>
    <font>
      <b/>
      <sz val="16"/>
      <color rgb="FFFFFFFF"/>
      <name val="Noto Sans CJK SC"/>
      <family val="3"/>
      <charset val="129"/>
    </font>
    <font>
      <sz val="9"/>
      <color rgb="FF595959"/>
      <name val="Arial"/>
      <family val="2"/>
    </font>
    <font>
      <sz val="9"/>
      <color rgb="FF595959"/>
      <name val="Noto Sans CJK SC"/>
      <family val="3"/>
      <charset val="129"/>
    </font>
    <font>
      <sz val="10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8"/>
      <color theme="1"/>
      <name val="맑은 고딕"/>
      <family val="2"/>
      <charset val="129"/>
    </font>
    <font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rgb="FF0070C0"/>
      <name val="맑은 고딕"/>
      <family val="2"/>
      <charset val="129"/>
    </font>
    <font>
      <sz val="11"/>
      <color rgb="FF0070C0"/>
      <name val="맑은 고딕"/>
      <family val="3"/>
      <charset val="129"/>
    </font>
    <font>
      <sz val="11"/>
      <color theme="5" tint="-0.249977111117893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6FB"/>
      </patternFill>
    </fill>
    <fill>
      <patternFill patternType="solid">
        <fgColor rgb="FFF2F6FB"/>
        <bgColor rgb="FFFFFFFF"/>
      </patternFill>
    </fill>
    <fill>
      <patternFill patternType="solid">
        <fgColor rgb="FFD9E1F2"/>
        <bgColor rgb="FFF2F6FB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41" fontId="29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176" fontId="5" fillId="3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3" fontId="9" fillId="4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77" fontId="12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49" fontId="9" fillId="4" borderId="1" xfId="0" applyNumberFormat="1" applyFont="1" applyFill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0" xfId="0" applyFont="1"/>
    <xf numFmtId="0" fontId="26" fillId="0" borderId="0" xfId="0" applyFont="1"/>
    <xf numFmtId="0" fontId="28" fillId="0" borderId="0" xfId="0" applyFont="1"/>
    <xf numFmtId="3" fontId="27" fillId="0" borderId="0" xfId="0" applyNumberFormat="1" applyFont="1"/>
    <xf numFmtId="0" fontId="30" fillId="0" borderId="0" xfId="0" applyFont="1"/>
    <xf numFmtId="0" fontId="25" fillId="0" borderId="0" xfId="0" applyFont="1"/>
    <xf numFmtId="41" fontId="0" fillId="0" borderId="0" xfId="1" applyFont="1" applyAlignme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13" fillId="3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31" fontId="0" fillId="0" borderId="0" xfId="0" applyNumberFormat="1"/>
    <xf numFmtId="0" fontId="35" fillId="0" borderId="0" xfId="0" applyFo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0B0B0"/>
      <rgbColor rgb="FF808080"/>
      <rgbColor rgb="FF9999FF"/>
      <rgbColor rgb="FF993366"/>
      <rgbColor rgb="FFFFF2CC"/>
      <rgbColor rgb="FFF2F6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2908DD-3566-465B-841C-B0ABE337E73D}">
  <we:reference id="wa200010725" version="1.0.0.1" store="ko-KR" storeType="OMEX"/>
  <we:alternateReferences>
    <we:reference id="wa200010725" version="1.0.0.1" store="" storeType="OMEX"/>
  </we:alternateReferences>
  <we:properties>
    <we:property name="claude.fileId" value="&quot;e1d53b3f-9819-4af5-ae27-440e07f6bb7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opLeftCell="B1" zoomScaleNormal="100" workbookViewId="0">
      <pane ySplit="6" topLeftCell="A13" activePane="bottomLeft" state="frozen"/>
      <selection pane="bottomLeft" activeCell="C8" sqref="C8"/>
    </sheetView>
  </sheetViews>
  <sheetFormatPr defaultColWidth="8.7109375" defaultRowHeight="15"/>
  <cols>
    <col min="1" max="1" width="20.5703125" customWidth="1"/>
    <col min="2" max="2" width="26.140625" customWidth="1"/>
    <col min="3" max="3" width="14.42578125" customWidth="1"/>
    <col min="4" max="4" width="14.28515625" customWidth="1"/>
    <col min="5" max="5" width="8" customWidth="1"/>
    <col min="6" max="6" width="12" customWidth="1"/>
    <col min="7" max="8" width="15" customWidth="1"/>
    <col min="9" max="9" width="49.7109375" customWidth="1"/>
    <col min="11" max="11" width="9.85546875" bestFit="1" customWidth="1"/>
  </cols>
  <sheetData>
    <row r="1" spans="1:12" ht="31.5" customHeight="1">
      <c r="A1" s="33" t="s">
        <v>44</v>
      </c>
      <c r="B1" s="34"/>
      <c r="C1" s="34"/>
      <c r="D1" s="34"/>
      <c r="E1" s="34"/>
      <c r="F1" s="34"/>
      <c r="G1" s="34"/>
      <c r="H1" s="34"/>
      <c r="I1" s="34"/>
    </row>
    <row r="3" spans="1:12" ht="17.100000000000001" customHeight="1">
      <c r="A3" s="35" t="s">
        <v>0</v>
      </c>
      <c r="B3" s="35"/>
      <c r="C3" s="1">
        <v>1465</v>
      </c>
      <c r="D3" s="36" t="s">
        <v>1</v>
      </c>
      <c r="E3" s="36"/>
      <c r="F3" s="36"/>
      <c r="G3" s="36"/>
      <c r="H3" s="36"/>
      <c r="I3" s="36"/>
    </row>
    <row r="4" spans="1:12" ht="27.75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</row>
    <row r="6" spans="1:12" ht="30" customHeight="1">
      <c r="A6" s="17" t="s">
        <v>38</v>
      </c>
      <c r="B6" s="2" t="s">
        <v>3</v>
      </c>
      <c r="C6" s="17" t="s">
        <v>42</v>
      </c>
      <c r="D6" s="17" t="s">
        <v>43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K6" s="22" t="s">
        <v>48</v>
      </c>
    </row>
    <row r="7" spans="1:12">
      <c r="A7" s="18" t="s">
        <v>35</v>
      </c>
      <c r="B7" s="3" t="s">
        <v>9</v>
      </c>
      <c r="C7" s="4">
        <v>4620</v>
      </c>
      <c r="D7" s="4">
        <v>4620</v>
      </c>
      <c r="E7" s="5" t="s">
        <v>10</v>
      </c>
      <c r="F7" s="5" t="s">
        <v>11</v>
      </c>
      <c r="G7" s="6">
        <f t="shared" ref="G7:G17" si="0">IF(C7="","",IF(E7="달러",C7*$C$3,C7*10000))</f>
        <v>6768300</v>
      </c>
      <c r="H7" s="6">
        <f t="shared" ref="H7:H17" si="1">IF(D7="","",IF(E7="달러",D7*$C$3,D7*10000))</f>
        <v>6768300</v>
      </c>
      <c r="I7" s="21" t="s">
        <v>45</v>
      </c>
      <c r="J7" s="24" t="s">
        <v>47</v>
      </c>
      <c r="K7" s="25">
        <v>7142110</v>
      </c>
      <c r="L7" s="23" t="s">
        <v>49</v>
      </c>
    </row>
    <row r="8" spans="1:12">
      <c r="A8" s="19" t="s">
        <v>35</v>
      </c>
      <c r="B8" s="8" t="s">
        <v>12</v>
      </c>
      <c r="C8" s="9">
        <v>230</v>
      </c>
      <c r="D8" s="9">
        <v>230</v>
      </c>
      <c r="E8" s="10" t="s">
        <v>10</v>
      </c>
      <c r="F8" s="10" t="s">
        <v>11</v>
      </c>
      <c r="G8" s="11">
        <f t="shared" si="0"/>
        <v>336950</v>
      </c>
      <c r="H8" s="11">
        <f t="shared" si="1"/>
        <v>336950</v>
      </c>
      <c r="I8" s="12"/>
      <c r="J8" s="24" t="s">
        <v>47</v>
      </c>
      <c r="K8" s="25">
        <v>26634</v>
      </c>
      <c r="L8" s="23" t="s">
        <v>46</v>
      </c>
    </row>
    <row r="9" spans="1:12">
      <c r="A9" s="18" t="s">
        <v>41</v>
      </c>
      <c r="B9" s="3" t="s">
        <v>13</v>
      </c>
      <c r="C9" s="4">
        <v>30</v>
      </c>
      <c r="D9" s="4">
        <v>30</v>
      </c>
      <c r="E9" s="5" t="s">
        <v>14</v>
      </c>
      <c r="F9" s="5" t="s">
        <v>15</v>
      </c>
      <c r="G9" s="6">
        <f t="shared" si="0"/>
        <v>300000</v>
      </c>
      <c r="H9" s="6">
        <f t="shared" si="1"/>
        <v>300000</v>
      </c>
      <c r="I9" s="7" t="s">
        <v>16</v>
      </c>
    </row>
    <row r="10" spans="1:12">
      <c r="A10" s="19" t="s">
        <v>39</v>
      </c>
      <c r="B10" s="8" t="s">
        <v>17</v>
      </c>
      <c r="C10" s="9">
        <v>100</v>
      </c>
      <c r="D10" s="9">
        <v>100</v>
      </c>
      <c r="E10" s="10" t="s">
        <v>14</v>
      </c>
      <c r="F10" s="10" t="s">
        <v>15</v>
      </c>
      <c r="G10" s="11">
        <f t="shared" si="0"/>
        <v>1000000</v>
      </c>
      <c r="H10" s="11">
        <f t="shared" si="1"/>
        <v>1000000</v>
      </c>
      <c r="I10" s="12"/>
    </row>
    <row r="11" spans="1:12">
      <c r="A11" s="19" t="s">
        <v>39</v>
      </c>
      <c r="B11" s="3" t="s">
        <v>18</v>
      </c>
      <c r="C11" s="4">
        <v>240</v>
      </c>
      <c r="D11" s="4">
        <v>300</v>
      </c>
      <c r="E11" s="5" t="s">
        <v>14</v>
      </c>
      <c r="F11" s="5" t="s">
        <v>15</v>
      </c>
      <c r="G11" s="6">
        <f t="shared" si="0"/>
        <v>2400000</v>
      </c>
      <c r="H11" s="6">
        <f t="shared" si="1"/>
        <v>3000000</v>
      </c>
      <c r="I11" s="13" t="s">
        <v>19</v>
      </c>
    </row>
    <row r="12" spans="1:12">
      <c r="A12" s="19" t="s">
        <v>39</v>
      </c>
      <c r="B12" s="8" t="s">
        <v>20</v>
      </c>
      <c r="C12" s="9">
        <v>120</v>
      </c>
      <c r="D12" s="9">
        <v>150</v>
      </c>
      <c r="E12" s="10" t="s">
        <v>14</v>
      </c>
      <c r="F12" s="10" t="s">
        <v>15</v>
      </c>
      <c r="G12" s="11">
        <f t="shared" si="0"/>
        <v>1200000</v>
      </c>
      <c r="H12" s="11">
        <f t="shared" si="1"/>
        <v>1500000</v>
      </c>
      <c r="I12" s="14" t="s">
        <v>21</v>
      </c>
    </row>
    <row r="13" spans="1:12">
      <c r="A13" s="19" t="s">
        <v>39</v>
      </c>
      <c r="B13" s="3" t="s">
        <v>22</v>
      </c>
      <c r="C13" s="4">
        <v>30</v>
      </c>
      <c r="D13" s="4">
        <v>30</v>
      </c>
      <c r="E13" s="5" t="s">
        <v>14</v>
      </c>
      <c r="F13" s="5" t="s">
        <v>23</v>
      </c>
      <c r="G13" s="6">
        <f t="shared" si="0"/>
        <v>300000</v>
      </c>
      <c r="H13" s="6">
        <f t="shared" si="1"/>
        <v>300000</v>
      </c>
      <c r="I13" s="7"/>
    </row>
    <row r="14" spans="1:12">
      <c r="A14" s="19" t="s">
        <v>40</v>
      </c>
      <c r="B14" s="8" t="s">
        <v>24</v>
      </c>
      <c r="C14" s="9">
        <v>200</v>
      </c>
      <c r="D14" s="9">
        <v>200</v>
      </c>
      <c r="E14" s="10" t="s">
        <v>14</v>
      </c>
      <c r="F14" s="10" t="s">
        <v>15</v>
      </c>
      <c r="G14" s="11">
        <f t="shared" si="0"/>
        <v>2000000</v>
      </c>
      <c r="H14" s="11">
        <f t="shared" si="1"/>
        <v>2000000</v>
      </c>
      <c r="I14" s="14"/>
    </row>
    <row r="15" spans="1:12">
      <c r="A15" s="20">
        <v>46252</v>
      </c>
      <c r="B15" s="3" t="s">
        <v>25</v>
      </c>
      <c r="C15" s="4">
        <v>40</v>
      </c>
      <c r="D15" s="4">
        <v>50</v>
      </c>
      <c r="E15" s="5" t="s">
        <v>14</v>
      </c>
      <c r="F15" s="5" t="s">
        <v>23</v>
      </c>
      <c r="G15" s="6">
        <f t="shared" si="0"/>
        <v>400000</v>
      </c>
      <c r="H15" s="6">
        <f t="shared" si="1"/>
        <v>500000</v>
      </c>
      <c r="I15" s="7" t="s">
        <v>26</v>
      </c>
    </row>
    <row r="16" spans="1:12">
      <c r="A16" s="19" t="s">
        <v>36</v>
      </c>
      <c r="B16" s="8" t="s">
        <v>27</v>
      </c>
      <c r="C16" s="9"/>
      <c r="D16" s="9"/>
      <c r="E16" s="10" t="s">
        <v>28</v>
      </c>
      <c r="F16" s="10" t="s">
        <v>15</v>
      </c>
      <c r="G16" s="11" t="str">
        <f t="shared" si="0"/>
        <v/>
      </c>
      <c r="H16" s="11" t="str">
        <f t="shared" si="1"/>
        <v/>
      </c>
      <c r="I16" s="14" t="s">
        <v>29</v>
      </c>
    </row>
    <row r="17" spans="1:9">
      <c r="A17" s="18" t="s">
        <v>37</v>
      </c>
      <c r="B17" s="3" t="s">
        <v>30</v>
      </c>
      <c r="C17" s="4">
        <v>100</v>
      </c>
      <c r="D17" s="4">
        <v>200</v>
      </c>
      <c r="E17" s="5" t="s">
        <v>14</v>
      </c>
      <c r="F17" s="5" t="s">
        <v>31</v>
      </c>
      <c r="G17" s="6">
        <f t="shared" si="0"/>
        <v>1000000</v>
      </c>
      <c r="H17" s="6">
        <f t="shared" si="1"/>
        <v>2000000</v>
      </c>
      <c r="I17" s="7"/>
    </row>
    <row r="18" spans="1:9" ht="25.5" customHeight="1">
      <c r="A18" s="38" t="s">
        <v>32</v>
      </c>
      <c r="B18" s="38"/>
      <c r="C18" s="38"/>
      <c r="D18" s="38"/>
      <c r="E18" s="38"/>
      <c r="F18" s="38"/>
      <c r="G18" s="15">
        <f>SUM(G7:G17)</f>
        <v>15705250</v>
      </c>
      <c r="H18" s="15">
        <f>SUM(H7:H17)</f>
        <v>17705250</v>
      </c>
      <c r="I18" s="16" t="s">
        <v>33</v>
      </c>
    </row>
    <row r="20" spans="1:9" ht="15" customHeight="1">
      <c r="A20" s="32" t="s">
        <v>34</v>
      </c>
      <c r="B20" s="32"/>
      <c r="C20" s="32"/>
      <c r="D20" s="32"/>
      <c r="E20" s="32"/>
      <c r="F20" s="32"/>
      <c r="G20" s="32"/>
      <c r="H20" s="32"/>
      <c r="I20" s="32"/>
    </row>
  </sheetData>
  <mergeCells count="6">
    <mergeCell ref="A20:I20"/>
    <mergeCell ref="A1:I1"/>
    <mergeCell ref="A3:B3"/>
    <mergeCell ref="D3:I3"/>
    <mergeCell ref="A4:I4"/>
    <mergeCell ref="A18:F18"/>
  </mergeCells>
  <phoneticPr fontId="15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9836-AF66-4A19-864E-85F8B18B94D2}">
  <dimension ref="A1:K16"/>
  <sheetViews>
    <sheetView topLeftCell="A4" workbookViewId="0">
      <selection activeCell="G18" sqref="G18"/>
    </sheetView>
  </sheetViews>
  <sheetFormatPr defaultRowHeight="15"/>
  <cols>
    <col min="2" max="2" width="17.5703125" customWidth="1"/>
    <col min="3" max="3" width="11.42578125" style="28" bestFit="1" customWidth="1"/>
  </cols>
  <sheetData>
    <row r="1" spans="1:11">
      <c r="A1" t="s">
        <v>50</v>
      </c>
    </row>
    <row r="3" spans="1:11">
      <c r="B3" s="29" t="s">
        <v>72</v>
      </c>
      <c r="C3" s="28">
        <v>170000</v>
      </c>
    </row>
    <row r="4" spans="1:11">
      <c r="B4" s="29" t="s">
        <v>76</v>
      </c>
      <c r="C4" s="28">
        <v>135480</v>
      </c>
    </row>
    <row r="6" spans="1:11">
      <c r="B6" s="22" t="s">
        <v>73</v>
      </c>
      <c r="C6" s="28">
        <v>45000</v>
      </c>
    </row>
    <row r="7" spans="1:11">
      <c r="B7" s="29" t="s">
        <v>74</v>
      </c>
      <c r="C7" s="28">
        <v>119000</v>
      </c>
    </row>
    <row r="8" spans="1:11">
      <c r="B8" s="22" t="s">
        <v>75</v>
      </c>
      <c r="C8" s="28">
        <v>143000</v>
      </c>
    </row>
    <row r="9" spans="1:11" ht="16.5">
      <c r="B9" s="26" t="s">
        <v>80</v>
      </c>
      <c r="C9" s="28">
        <v>88000</v>
      </c>
    </row>
    <row r="10" spans="1:11" ht="16.5">
      <c r="B10" s="26" t="s">
        <v>81</v>
      </c>
      <c r="C10" s="28">
        <v>40000</v>
      </c>
    </row>
    <row r="11" spans="1:11" ht="16.5">
      <c r="B11" s="26" t="s">
        <v>82</v>
      </c>
      <c r="C11" s="28">
        <v>184000</v>
      </c>
      <c r="D11" s="26" t="s">
        <v>83</v>
      </c>
      <c r="E11">
        <v>62000</v>
      </c>
      <c r="F11" s="26" t="s">
        <v>92</v>
      </c>
      <c r="G11">
        <v>90300</v>
      </c>
      <c r="H11" s="26" t="s">
        <v>93</v>
      </c>
      <c r="I11">
        <v>20000</v>
      </c>
      <c r="J11" s="26" t="s">
        <v>94</v>
      </c>
      <c r="K11">
        <v>61920</v>
      </c>
    </row>
    <row r="12" spans="1:11" ht="16.5">
      <c r="B12" s="26" t="s">
        <v>90</v>
      </c>
      <c r="C12" s="28">
        <v>1600000</v>
      </c>
    </row>
    <row r="13" spans="1:11" ht="16.5">
      <c r="B13" s="26" t="s">
        <v>91</v>
      </c>
      <c r="C13" s="28">
        <v>22500</v>
      </c>
    </row>
    <row r="14" spans="1:11" ht="16.5">
      <c r="B14" s="26" t="s">
        <v>95</v>
      </c>
      <c r="C14" s="28">
        <v>500000</v>
      </c>
      <c r="D14" t="s">
        <v>96</v>
      </c>
    </row>
    <row r="16" spans="1:11">
      <c r="G16" t="s">
        <v>50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ACEA-ED0F-438A-ACA6-D7802530826E}">
  <dimension ref="B3:F27"/>
  <sheetViews>
    <sheetView topLeftCell="A10" workbookViewId="0">
      <selection activeCell="G29" sqref="G29"/>
    </sheetView>
  </sheetViews>
  <sheetFormatPr defaultRowHeight="15"/>
  <cols>
    <col min="2" max="2" width="15.140625" customWidth="1"/>
    <col min="3" max="3" width="11.42578125" style="28" bestFit="1" customWidth="1"/>
    <col min="5" max="5" width="9.7109375" bestFit="1" customWidth="1"/>
  </cols>
  <sheetData>
    <row r="3" spans="2:5" ht="16.5">
      <c r="B3" s="26" t="s">
        <v>51</v>
      </c>
    </row>
    <row r="4" spans="2:5" ht="16.5">
      <c r="B4" s="26" t="s">
        <v>52</v>
      </c>
      <c r="C4" s="28">
        <v>4000000</v>
      </c>
      <c r="D4" t="s">
        <v>53</v>
      </c>
    </row>
    <row r="5" spans="2:5" ht="16.5">
      <c r="B5" s="26" t="s">
        <v>54</v>
      </c>
      <c r="C5" s="28">
        <v>3680000</v>
      </c>
      <c r="D5" t="s">
        <v>55</v>
      </c>
    </row>
    <row r="6" spans="2:5">
      <c r="C6" s="28">
        <v>3680000</v>
      </c>
    </row>
    <row r="7" spans="2:5">
      <c r="C7" s="28">
        <v>3680000</v>
      </c>
    </row>
    <row r="8" spans="2:5" ht="16.5">
      <c r="B8" s="27" t="s">
        <v>56</v>
      </c>
      <c r="C8" s="28">
        <v>65000</v>
      </c>
      <c r="D8" t="s">
        <v>77</v>
      </c>
    </row>
    <row r="9" spans="2:5">
      <c r="C9" s="28">
        <v>1970000</v>
      </c>
    </row>
    <row r="10" spans="2:5">
      <c r="C10" s="28">
        <v>19220</v>
      </c>
    </row>
    <row r="11" spans="2:5" ht="16.5">
      <c r="B11" s="27" t="s">
        <v>57</v>
      </c>
      <c r="C11" s="28">
        <v>400</v>
      </c>
      <c r="D11" s="30" t="s">
        <v>58</v>
      </c>
      <c r="E11" s="26" t="s">
        <v>59</v>
      </c>
    </row>
    <row r="12" spans="2:5" ht="16.5">
      <c r="C12" s="28">
        <v>450</v>
      </c>
      <c r="D12" s="31" t="s">
        <v>58</v>
      </c>
      <c r="E12" s="26" t="s">
        <v>60</v>
      </c>
    </row>
    <row r="13" spans="2:5" ht="16.5">
      <c r="B13" s="22" t="s">
        <v>61</v>
      </c>
      <c r="C13" s="28">
        <v>2000</v>
      </c>
      <c r="D13" s="31" t="s">
        <v>58</v>
      </c>
      <c r="E13" s="26" t="s">
        <v>62</v>
      </c>
    </row>
    <row r="14" spans="2:5" ht="16.5">
      <c r="C14" s="28">
        <v>13</v>
      </c>
      <c r="D14" s="31" t="s">
        <v>58</v>
      </c>
      <c r="E14" s="26" t="s">
        <v>63</v>
      </c>
    </row>
    <row r="15" spans="2:5" ht="16.5">
      <c r="B15" s="26" t="s">
        <v>84</v>
      </c>
      <c r="C15" s="28">
        <v>4860</v>
      </c>
      <c r="D15" s="31" t="s">
        <v>58</v>
      </c>
      <c r="E15" s="26">
        <v>7168744</v>
      </c>
    </row>
    <row r="16" spans="2:5" ht="16.5">
      <c r="C16" s="28">
        <v>13</v>
      </c>
      <c r="D16" s="31" t="s">
        <v>58</v>
      </c>
      <c r="E16" s="26"/>
    </row>
    <row r="17" spans="2:6" ht="16.5">
      <c r="B17" s="26" t="s">
        <v>64</v>
      </c>
      <c r="C17" s="28">
        <v>90000</v>
      </c>
      <c r="D17" s="26" t="s">
        <v>65</v>
      </c>
    </row>
    <row r="18" spans="2:6" ht="16.5">
      <c r="B18" s="26" t="s">
        <v>66</v>
      </c>
      <c r="C18" s="28">
        <v>300000</v>
      </c>
      <c r="D18" s="26" t="s">
        <v>89</v>
      </c>
    </row>
    <row r="19" spans="2:6" ht="16.5">
      <c r="B19" s="26" t="s">
        <v>78</v>
      </c>
      <c r="C19" s="28">
        <v>0</v>
      </c>
      <c r="D19" s="26" t="s">
        <v>67</v>
      </c>
      <c r="F19" t="s">
        <v>79</v>
      </c>
    </row>
    <row r="20" spans="2:6" ht="16.5">
      <c r="B20" s="26" t="s">
        <v>88</v>
      </c>
      <c r="C20" s="28">
        <v>130000</v>
      </c>
      <c r="D20" s="26"/>
      <c r="E20" t="s">
        <v>50</v>
      </c>
    </row>
    <row r="21" spans="2:6" ht="16.5">
      <c r="B21" s="26" t="s">
        <v>85</v>
      </c>
      <c r="C21" s="28">
        <v>300000</v>
      </c>
    </row>
    <row r="22" spans="2:6" ht="16.5">
      <c r="B22" s="27" t="s">
        <v>68</v>
      </c>
      <c r="C22" s="28">
        <v>310000</v>
      </c>
      <c r="D22" s="26" t="s">
        <v>69</v>
      </c>
    </row>
    <row r="23" spans="2:6" ht="16.5">
      <c r="B23" s="27"/>
      <c r="C23" s="28">
        <v>377000</v>
      </c>
      <c r="D23" s="26" t="s">
        <v>86</v>
      </c>
    </row>
    <row r="24" spans="2:6" ht="16.5">
      <c r="B24" s="27"/>
      <c r="C24" s="28">
        <v>95000</v>
      </c>
      <c r="D24" s="26" t="s">
        <v>87</v>
      </c>
    </row>
    <row r="25" spans="2:6" ht="16.5">
      <c r="B25" s="27" t="s">
        <v>70</v>
      </c>
      <c r="C25" s="28">
        <v>210000</v>
      </c>
      <c r="D25" s="26" t="s">
        <v>71</v>
      </c>
    </row>
    <row r="26" spans="2:6" ht="16.5">
      <c r="B26" s="26" t="s">
        <v>97</v>
      </c>
      <c r="C26" s="28">
        <v>319900</v>
      </c>
      <c r="D26" s="26" t="s">
        <v>98</v>
      </c>
    </row>
    <row r="27" spans="2:6" ht="16.5">
      <c r="B27" s="26" t="s">
        <v>99</v>
      </c>
      <c r="C27" s="28">
        <v>588366</v>
      </c>
      <c r="D27" s="26" t="s">
        <v>100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EF88-1044-4CD8-B3D2-F8F9EEDCB545}">
  <dimension ref="A2:H3"/>
  <sheetViews>
    <sheetView tabSelected="1" workbookViewId="0">
      <selection activeCell="D9" sqref="D9"/>
    </sheetView>
  </sheetViews>
  <sheetFormatPr defaultRowHeight="15"/>
  <cols>
    <col min="1" max="1" width="16" customWidth="1"/>
    <col min="2" max="2" width="13.140625" customWidth="1"/>
    <col min="3" max="4" width="13.7109375" customWidth="1"/>
    <col min="5" max="5" width="12.85546875" customWidth="1"/>
    <col min="6" max="6" width="16.140625" customWidth="1"/>
    <col min="8" max="8" width="11" customWidth="1"/>
  </cols>
  <sheetData>
    <row r="2" spans="1:8" ht="16.5">
      <c r="B2" s="26" t="s">
        <v>102</v>
      </c>
      <c r="C2" s="26" t="s">
        <v>103</v>
      </c>
      <c r="D2" s="26" t="s">
        <v>108</v>
      </c>
      <c r="E2" s="26" t="s">
        <v>101</v>
      </c>
      <c r="F2" s="26" t="s">
        <v>104</v>
      </c>
    </row>
    <row r="3" spans="1:8" ht="16.5">
      <c r="A3" s="39" t="s">
        <v>105</v>
      </c>
      <c r="B3" t="s">
        <v>112</v>
      </c>
      <c r="C3" s="26" t="s">
        <v>111</v>
      </c>
      <c r="D3" t="s">
        <v>109</v>
      </c>
      <c r="E3" t="s">
        <v>110</v>
      </c>
      <c r="F3" t="s">
        <v>113</v>
      </c>
      <c r="G3" t="s">
        <v>106</v>
      </c>
      <c r="H3" s="40" t="s">
        <v>107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유학비용정리</vt:lpstr>
      <vt:lpstr>물품준비</vt:lpstr>
      <vt:lpstr>사전 유학 준비</vt:lpstr>
      <vt:lpstr>월별 지출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효숙 김</cp:lastModifiedBy>
  <cp:revision>0</cp:revision>
  <dcterms:created xsi:type="dcterms:W3CDTF">2026-07-25T02:37:25Z</dcterms:created>
  <dcterms:modified xsi:type="dcterms:W3CDTF">2026-08-18T19:02:44Z</dcterms:modified>
  <dc:language>en-US</dc:language>
</cp:coreProperties>
</file>